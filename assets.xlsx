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adhapark/Documents/Ares/"/>
    </mc:Choice>
  </mc:AlternateContent>
  <xr:revisionPtr revIDLastSave="0" documentId="8_{42638595-D861-9544-A49B-ECEC913404B8}" xr6:coauthVersionLast="47" xr6:coauthVersionMax="47" xr10:uidLastSave="{00000000-0000-0000-0000-000000000000}"/>
  <bookViews>
    <workbookView xWindow="780" yWindow="1000" windowWidth="27640" windowHeight="15580" xr2:uid="{9B886258-7CB4-5047-B072-C611C7689B6E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6" i="1" l="1"/>
  <c r="N16" i="1"/>
  <c r="E16" i="1"/>
  <c r="I16" i="1" s="1"/>
  <c r="Q15" i="1"/>
  <c r="N15" i="1"/>
  <c r="E15" i="1"/>
  <c r="I15" i="1" s="1"/>
  <c r="Q14" i="1"/>
  <c r="N14" i="1"/>
  <c r="E14" i="1"/>
  <c r="I14" i="1" s="1"/>
  <c r="Z13" i="1"/>
  <c r="Q13" i="1"/>
  <c r="N13" i="1"/>
  <c r="W13" i="1" s="1"/>
  <c r="X13" i="1" s="1"/>
  <c r="E13" i="1"/>
  <c r="I13" i="1" s="1"/>
  <c r="Q12" i="1"/>
  <c r="N12" i="1"/>
  <c r="E12" i="1"/>
  <c r="I12" i="1" s="1"/>
  <c r="Q11" i="1"/>
  <c r="N11" i="1"/>
  <c r="E11" i="1"/>
  <c r="I11" i="1" s="1"/>
  <c r="Q10" i="1"/>
  <c r="N10" i="1"/>
  <c r="E10" i="1"/>
  <c r="I10" i="1" s="1"/>
  <c r="Q9" i="1"/>
  <c r="N9" i="1"/>
  <c r="E9" i="1"/>
  <c r="I9" i="1" s="1"/>
  <c r="Q8" i="1"/>
  <c r="N8" i="1"/>
  <c r="E8" i="1"/>
  <c r="I8" i="1" s="1"/>
  <c r="Q7" i="1"/>
  <c r="N7" i="1"/>
  <c r="E7" i="1"/>
  <c r="I7" i="1" s="1"/>
  <c r="Q6" i="1"/>
  <c r="N6" i="1"/>
  <c r="E6" i="1"/>
  <c r="I6" i="1" s="1"/>
  <c r="Q5" i="1"/>
  <c r="N5" i="1"/>
  <c r="E5" i="1"/>
  <c r="I5" i="1" s="1"/>
  <c r="Q4" i="1"/>
  <c r="N4" i="1"/>
  <c r="E4" i="1"/>
  <c r="I4" i="1" s="1"/>
  <c r="Q3" i="1"/>
  <c r="N3" i="1"/>
  <c r="E3" i="1"/>
  <c r="I3" i="1" s="1"/>
  <c r="Q2" i="1"/>
  <c r="N2" i="1"/>
  <c r="E2" i="1"/>
  <c r="I2" i="1" s="1"/>
  <c r="W16" i="1" l="1"/>
  <c r="X16" i="1" s="1"/>
  <c r="Z16" i="1"/>
  <c r="Z15" i="1"/>
  <c r="W15" i="1"/>
  <c r="X15" i="1" s="1"/>
  <c r="Z14" i="1"/>
  <c r="W14" i="1"/>
  <c r="X14" i="1" s="1"/>
  <c r="Z12" i="1"/>
  <c r="W12" i="1"/>
  <c r="X12" i="1" s="1"/>
  <c r="W11" i="1"/>
  <c r="X11" i="1" s="1"/>
  <c r="Z11" i="1"/>
  <c r="Z10" i="1"/>
  <c r="W10" i="1"/>
  <c r="X10" i="1" s="1"/>
  <c r="W9" i="1"/>
  <c r="X9" i="1" s="1"/>
  <c r="Z9" i="1"/>
  <c r="Z8" i="1"/>
  <c r="W8" i="1"/>
  <c r="X8" i="1" s="1"/>
  <c r="W7" i="1"/>
  <c r="X7" i="1" s="1"/>
  <c r="Z7" i="1"/>
  <c r="W6" i="1"/>
  <c r="X6" i="1" s="1"/>
  <c r="Z6" i="1"/>
  <c r="W5" i="1"/>
  <c r="X5" i="1" s="1"/>
  <c r="Z5" i="1"/>
  <c r="W4" i="1"/>
  <c r="X4" i="1" s="1"/>
  <c r="Z4" i="1"/>
  <c r="W3" i="1"/>
  <c r="X3" i="1" s="1"/>
  <c r="Z3" i="1"/>
  <c r="Z2" i="1"/>
  <c r="W2" i="1"/>
  <c r="X2" i="1" s="1"/>
</calcChain>
</file>

<file path=xl/sharedStrings.xml><?xml version="1.0" encoding="utf-8"?>
<sst xmlns="http://schemas.openxmlformats.org/spreadsheetml/2006/main" count="91" uniqueCount="46">
  <si>
    <t>Model Ref</t>
  </si>
  <si>
    <t>Company / Issuer Name</t>
  </si>
  <si>
    <t>Instrument Name</t>
  </si>
  <si>
    <t>Instrument Type</t>
  </si>
  <si>
    <t>Signing Date</t>
  </si>
  <si>
    <t>Initial Funding Date</t>
  </si>
  <si>
    <t>Exit Date</t>
  </si>
  <si>
    <t>Maturity Date</t>
  </si>
  <si>
    <t>Term</t>
  </si>
  <si>
    <t>Ccy</t>
  </si>
  <si>
    <t>Quantity (Local)</t>
  </si>
  <si>
    <t>Cost (Local)</t>
  </si>
  <si>
    <t>Committed (Local)</t>
  </si>
  <si>
    <t>Committed EUR</t>
  </si>
  <si>
    <t>Funded (Local)</t>
  </si>
  <si>
    <t>EUR FX Rate</t>
  </si>
  <si>
    <t>Funded EUR</t>
  </si>
  <si>
    <t>Margin</t>
  </si>
  <si>
    <t>Floor</t>
  </si>
  <si>
    <t>Base Rate</t>
  </si>
  <si>
    <t>Total Cash Margin</t>
  </si>
  <si>
    <t>Unfunded Fee (% of margin)</t>
  </si>
  <si>
    <t>Unfunded EUR</t>
  </si>
  <si>
    <t>Unfunded Fee</t>
  </si>
  <si>
    <t>Upfront Fees / OID</t>
  </si>
  <si>
    <t>Upfront Fee</t>
  </si>
  <si>
    <t>PIK</t>
  </si>
  <si>
    <t>PIK + Cash</t>
  </si>
  <si>
    <t>Total All-in Margin Margin</t>
  </si>
  <si>
    <t>Periodicity</t>
  </si>
  <si>
    <t>Day Basis</t>
  </si>
  <si>
    <t>Company A</t>
  </si>
  <si>
    <t>First Lien</t>
  </si>
  <si>
    <t>EUR</t>
  </si>
  <si>
    <t>Acq. Facility</t>
  </si>
  <si>
    <t>Company B</t>
  </si>
  <si>
    <t>Company C</t>
  </si>
  <si>
    <t>GBP</t>
  </si>
  <si>
    <t>Company D</t>
  </si>
  <si>
    <t>USD</t>
  </si>
  <si>
    <t>Company E</t>
  </si>
  <si>
    <t>Company F</t>
  </si>
  <si>
    <t>Company G</t>
  </si>
  <si>
    <t>Subordinate</t>
  </si>
  <si>
    <t>Company H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</si>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</sst>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_-;\-* #,##0_-;_-* &quot;-&quot;??_-;_-@_-"/>
    <numFmt numFmtId="166" formatCode="_-* #,##0.000_-;\-* #,##0.0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Karla"/>
    </font>
    <font>
      <sz val="10"/>
      <color theme="1"/>
      <name val="Karla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vertical="center"/>
    </xf>
    <xf numFmtId="166" fontId="3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0" fontId="3" fillId="0" borderId="0" xfId="2" applyNumberFormat="1" applyFont="1" applyAlignment="1">
      <alignment horizontal="center" vertical="center"/>
    </xf>
    <xf numFmtId="165" fontId="3" fillId="0" borderId="0" xfId="2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 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01C2-D181-334F-ACAD-4BAE423A4F45}">
  <dimension ref="A1:AE16"/>
  <sheetViews>
    <sheetView tabSelected="1" workbookViewId="0">
      <selection sqref="A1:AE16"/>
    </sheetView>
  </sheetViews>
  <sheetFormatPr baseColWidth="10" defaultRowHeight="16" x14ac:dyDescent="0.2"/>
  <sheetData>
    <row r="1" spans="1:31" ht="42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1" t="s">
        <v>29</v>
      </c>
      <c r="AE1" s="1" t="s">
        <v>30</v>
      </c>
    </row>
    <row r="2" spans="1:31" x14ac:dyDescent="0.2">
      <c r="A2" s="9">
        <v>1</v>
      </c>
      <c r="B2" s="10" t="s">
        <v>31</v>
      </c>
      <c r="C2" s="11" t="s">
        <v>32</v>
      </c>
      <c r="D2" s="11" t="s">
        <v>32</v>
      </c>
      <c r="E2" s="12">
        <f>F2-15</f>
        <v>45126</v>
      </c>
      <c r="F2" s="12">
        <v>45141</v>
      </c>
      <c r="G2" s="12">
        <v>46722</v>
      </c>
      <c r="H2" s="12">
        <v>47353</v>
      </c>
      <c r="I2" s="9">
        <f>DATEDIF(E2,H2,"m")</f>
        <v>73</v>
      </c>
      <c r="J2" s="9" t="s">
        <v>33</v>
      </c>
      <c r="K2" s="13">
        <v>5328125</v>
      </c>
      <c r="L2" s="13">
        <v>5328125</v>
      </c>
      <c r="M2" s="14">
        <v>5328125</v>
      </c>
      <c r="N2" s="14">
        <f>M2*P2</f>
        <v>5328125</v>
      </c>
      <c r="O2" s="14">
        <v>5328125</v>
      </c>
      <c r="P2" s="15">
        <v>1</v>
      </c>
      <c r="Q2" s="16">
        <f>O2*P2</f>
        <v>5328125</v>
      </c>
      <c r="R2" s="17">
        <v>6.25E-2</v>
      </c>
      <c r="S2" s="17">
        <v>1.4999999999999999E-2</v>
      </c>
      <c r="T2" s="17">
        <v>2.0705000000000001E-2</v>
      </c>
      <c r="U2" s="17">
        <v>8.3205000000000001E-2</v>
      </c>
      <c r="V2" s="17">
        <v>0.2</v>
      </c>
      <c r="W2" s="18">
        <f>N2-Q2</f>
        <v>0</v>
      </c>
      <c r="X2" s="18">
        <f>W2*U2*V2</f>
        <v>0</v>
      </c>
      <c r="Y2" s="17">
        <v>3.2500000000000001E-2</v>
      </c>
      <c r="Z2" s="16">
        <f>Y2*N2</f>
        <v>173164.0625</v>
      </c>
      <c r="AA2" s="17">
        <v>0</v>
      </c>
      <c r="AB2" s="17">
        <v>6.25E-2</v>
      </c>
      <c r="AC2" s="17">
        <v>8.3205000000000001E-2</v>
      </c>
      <c r="AD2" s="9">
        <v>13</v>
      </c>
      <c r="AE2" s="9">
        <v>360</v>
      </c>
    </row>
    <row r="3" spans="1:31" x14ac:dyDescent="0.2">
      <c r="A3" s="9">
        <v>2</v>
      </c>
      <c r="B3" s="10" t="s">
        <v>31</v>
      </c>
      <c r="C3" s="11" t="s">
        <v>32</v>
      </c>
      <c r="D3" s="11" t="s">
        <v>34</v>
      </c>
      <c r="E3" s="12">
        <f t="shared" ref="E3:E16" si="0">F3-15</f>
        <v>45126</v>
      </c>
      <c r="F3" s="12">
        <v>45141</v>
      </c>
      <c r="G3" s="12">
        <v>46722</v>
      </c>
      <c r="H3" s="12">
        <v>47353</v>
      </c>
      <c r="I3" s="9">
        <f t="shared" ref="I3:I16" si="1">DATEDIF(E3,H3,"m")</f>
        <v>73</v>
      </c>
      <c r="J3" s="9" t="s">
        <v>33</v>
      </c>
      <c r="K3" s="13">
        <v>4621875</v>
      </c>
      <c r="L3" s="13">
        <v>2333738.75</v>
      </c>
      <c r="M3" s="14">
        <v>4621875</v>
      </c>
      <c r="N3" s="14">
        <f>M3*P3</f>
        <v>4621875</v>
      </c>
      <c r="O3" s="14">
        <v>2333738.75</v>
      </c>
      <c r="P3" s="15">
        <v>1</v>
      </c>
      <c r="Q3" s="16">
        <f t="shared" ref="Q3:Q16" si="2">O3*P3</f>
        <v>2333738.75</v>
      </c>
      <c r="R3" s="17">
        <v>6.25E-2</v>
      </c>
      <c r="S3" s="17">
        <v>1.4999999999999999E-2</v>
      </c>
      <c r="T3" s="17">
        <v>2.0705000000000001E-2</v>
      </c>
      <c r="U3" s="17">
        <v>8.3205000000000001E-2</v>
      </c>
      <c r="V3" s="17">
        <v>0.2</v>
      </c>
      <c r="W3" s="18">
        <f t="shared" ref="W3:W16" si="3">N3-Q3</f>
        <v>2288136.25</v>
      </c>
      <c r="X3" s="18">
        <f>W3*U3*V3</f>
        <v>38076.875336249999</v>
      </c>
      <c r="Y3" s="17">
        <v>3.2500000000000001E-2</v>
      </c>
      <c r="Z3" s="16">
        <f t="shared" ref="Z3:Z15" si="4">Y3*N3</f>
        <v>150210.9375</v>
      </c>
      <c r="AA3" s="17">
        <v>0</v>
      </c>
      <c r="AB3" s="17">
        <v>6.25E-2</v>
      </c>
      <c r="AC3" s="17">
        <v>8.3205000000000001E-2</v>
      </c>
      <c r="AD3" s="9">
        <v>13</v>
      </c>
      <c r="AE3" s="9">
        <v>360</v>
      </c>
    </row>
    <row r="4" spans="1:31" x14ac:dyDescent="0.2">
      <c r="A4" s="9">
        <v>3</v>
      </c>
      <c r="B4" s="10" t="s">
        <v>35</v>
      </c>
      <c r="C4" s="11" t="s">
        <v>32</v>
      </c>
      <c r="D4" s="11" t="s">
        <v>32</v>
      </c>
      <c r="E4" s="12">
        <f t="shared" si="0"/>
        <v>45141</v>
      </c>
      <c r="F4" s="12">
        <v>45156</v>
      </c>
      <c r="G4" s="12">
        <v>46722</v>
      </c>
      <c r="H4" s="12">
        <v>47732</v>
      </c>
      <c r="I4" s="9">
        <f t="shared" si="1"/>
        <v>85</v>
      </c>
      <c r="J4" s="9" t="s">
        <v>33</v>
      </c>
      <c r="K4" s="13">
        <v>10718409</v>
      </c>
      <c r="L4" s="13">
        <v>10718409</v>
      </c>
      <c r="M4" s="14">
        <v>10718409</v>
      </c>
      <c r="N4" s="14">
        <f t="shared" ref="N4:N16" si="5">M4*P4</f>
        <v>10718409</v>
      </c>
      <c r="O4" s="14">
        <v>10718409</v>
      </c>
      <c r="P4" s="15">
        <v>1</v>
      </c>
      <c r="Q4" s="16">
        <f t="shared" si="2"/>
        <v>10718409</v>
      </c>
      <c r="R4" s="17">
        <v>6.7500000000000004E-2</v>
      </c>
      <c r="S4" s="17">
        <v>0.01</v>
      </c>
      <c r="T4" s="17">
        <v>2.0705000000000001E-2</v>
      </c>
      <c r="U4" s="17">
        <v>8.8205000000000006E-2</v>
      </c>
      <c r="V4" s="17">
        <v>0.25</v>
      </c>
      <c r="W4" s="18">
        <f t="shared" si="3"/>
        <v>0</v>
      </c>
      <c r="X4" s="18">
        <f t="shared" ref="X4:X16" si="6">W4*U4*V4</f>
        <v>0</v>
      </c>
      <c r="Y4" s="17">
        <v>3.2500000000000001E-2</v>
      </c>
      <c r="Z4" s="16">
        <f t="shared" si="4"/>
        <v>348348.29250000004</v>
      </c>
      <c r="AA4" s="17">
        <v>0</v>
      </c>
      <c r="AB4" s="17">
        <v>6.7500000000000004E-2</v>
      </c>
      <c r="AC4" s="17">
        <v>8.8205000000000006E-2</v>
      </c>
      <c r="AD4" s="9">
        <v>13</v>
      </c>
      <c r="AE4" s="9">
        <v>360</v>
      </c>
    </row>
    <row r="5" spans="1:31" x14ac:dyDescent="0.2">
      <c r="A5" s="9">
        <v>4</v>
      </c>
      <c r="B5" s="10" t="s">
        <v>35</v>
      </c>
      <c r="C5" s="11" t="s">
        <v>32</v>
      </c>
      <c r="D5" s="11" t="s">
        <v>34</v>
      </c>
      <c r="E5" s="12">
        <f t="shared" si="0"/>
        <v>45141</v>
      </c>
      <c r="F5" s="12">
        <v>45156</v>
      </c>
      <c r="G5" s="12">
        <v>46722</v>
      </c>
      <c r="H5" s="12">
        <v>47732</v>
      </c>
      <c r="I5" s="9">
        <f t="shared" si="1"/>
        <v>85</v>
      </c>
      <c r="J5" s="9" t="s">
        <v>33</v>
      </c>
      <c r="K5" s="13">
        <v>5781591</v>
      </c>
      <c r="L5" s="13">
        <v>5781590.4900000002</v>
      </c>
      <c r="M5" s="14">
        <v>5781591</v>
      </c>
      <c r="N5" s="14">
        <f t="shared" si="5"/>
        <v>5781591</v>
      </c>
      <c r="O5" s="14">
        <v>5781590.4900000002</v>
      </c>
      <c r="P5" s="15">
        <v>1</v>
      </c>
      <c r="Q5" s="16">
        <f t="shared" si="2"/>
        <v>5781590.4900000002</v>
      </c>
      <c r="R5" s="17">
        <v>6.7500000000000004E-2</v>
      </c>
      <c r="S5" s="17">
        <v>0.01</v>
      </c>
      <c r="T5" s="17">
        <v>2.0705000000000001E-2</v>
      </c>
      <c r="U5" s="17">
        <v>8.8205000000000006E-2</v>
      </c>
      <c r="V5" s="17">
        <v>0.25</v>
      </c>
      <c r="W5" s="18">
        <f t="shared" si="3"/>
        <v>0.50999999977648258</v>
      </c>
      <c r="X5" s="18">
        <f t="shared" si="6"/>
        <v>1.1246137495071163E-2</v>
      </c>
      <c r="Y5" s="17">
        <v>3.2500000000000001E-2</v>
      </c>
      <c r="Z5" s="16">
        <f t="shared" si="4"/>
        <v>187901.70750000002</v>
      </c>
      <c r="AA5" s="17">
        <v>0</v>
      </c>
      <c r="AB5" s="17">
        <v>6.7500000000000004E-2</v>
      </c>
      <c r="AC5" s="17">
        <v>8.8205000000000006E-2</v>
      </c>
      <c r="AD5" s="9">
        <v>13</v>
      </c>
      <c r="AE5" s="9">
        <v>360</v>
      </c>
    </row>
    <row r="6" spans="1:31" x14ac:dyDescent="0.2">
      <c r="A6" s="9">
        <v>5</v>
      </c>
      <c r="B6" s="10" t="s">
        <v>36</v>
      </c>
      <c r="C6" s="11" t="s">
        <v>32</v>
      </c>
      <c r="D6" s="11" t="s">
        <v>32</v>
      </c>
      <c r="E6" s="12">
        <f t="shared" si="0"/>
        <v>44950</v>
      </c>
      <c r="F6" s="12">
        <v>44965</v>
      </c>
      <c r="G6" s="12">
        <v>46934</v>
      </c>
      <c r="H6" s="12">
        <v>46919</v>
      </c>
      <c r="I6" s="9">
        <f t="shared" si="1"/>
        <v>64</v>
      </c>
      <c r="J6" s="9" t="s">
        <v>37</v>
      </c>
      <c r="K6" s="13">
        <v>19360979.490000002</v>
      </c>
      <c r="L6" s="13">
        <v>19360979.490000002</v>
      </c>
      <c r="M6" s="14">
        <v>19360979.490000002</v>
      </c>
      <c r="N6" s="14">
        <f t="shared" si="5"/>
        <v>22080034.139187824</v>
      </c>
      <c r="O6" s="14">
        <v>19360979.490000002</v>
      </c>
      <c r="P6" s="15">
        <v>1.1404399323181051</v>
      </c>
      <c r="Q6" s="16">
        <f t="shared" si="2"/>
        <v>22080034.139187824</v>
      </c>
      <c r="R6" s="17">
        <v>5.7500000000000002E-2</v>
      </c>
      <c r="S6" s="17">
        <v>1.4999999999999999E-2</v>
      </c>
      <c r="T6" s="17">
        <v>3.5816000000000001E-2</v>
      </c>
      <c r="U6" s="17">
        <v>9.331600000000001E-2</v>
      </c>
      <c r="V6" s="17">
        <v>0.25</v>
      </c>
      <c r="W6" s="18">
        <f t="shared" si="3"/>
        <v>0</v>
      </c>
      <c r="X6" s="18">
        <f t="shared" si="6"/>
        <v>0</v>
      </c>
      <c r="Y6" s="17">
        <v>3.5000000000000003E-2</v>
      </c>
      <c r="Z6" s="16">
        <f t="shared" si="4"/>
        <v>772801.19487157394</v>
      </c>
      <c r="AA6" s="17">
        <v>0</v>
      </c>
      <c r="AB6" s="17">
        <v>5.7500000000000002E-2</v>
      </c>
      <c r="AC6" s="17">
        <v>9.331600000000001E-2</v>
      </c>
      <c r="AD6" s="9">
        <v>26</v>
      </c>
      <c r="AE6" s="9">
        <v>365</v>
      </c>
    </row>
    <row r="7" spans="1:31" x14ac:dyDescent="0.2">
      <c r="A7" s="9">
        <v>6</v>
      </c>
      <c r="B7" s="10" t="s">
        <v>38</v>
      </c>
      <c r="C7" s="11" t="s">
        <v>32</v>
      </c>
      <c r="D7" s="11" t="s">
        <v>32</v>
      </c>
      <c r="E7" s="12">
        <f t="shared" si="0"/>
        <v>45053</v>
      </c>
      <c r="F7" s="12">
        <v>45068</v>
      </c>
      <c r="G7" s="12">
        <v>46163</v>
      </c>
      <c r="H7" s="12">
        <v>46830</v>
      </c>
      <c r="I7" s="9">
        <f t="shared" si="1"/>
        <v>58</v>
      </c>
      <c r="J7" s="9" t="s">
        <v>39</v>
      </c>
      <c r="K7" s="13">
        <v>8761800.1600000001</v>
      </c>
      <c r="L7" s="13">
        <v>8761800.1500000004</v>
      </c>
      <c r="M7" s="14">
        <v>8761800.1600000001</v>
      </c>
      <c r="N7" s="14">
        <f t="shared" si="5"/>
        <v>7412690.4906937396</v>
      </c>
      <c r="O7" s="14">
        <v>8761800.1500000004</v>
      </c>
      <c r="P7" s="15">
        <v>0.84602368866328259</v>
      </c>
      <c r="Q7" s="16">
        <f t="shared" si="2"/>
        <v>7412690.4822335029</v>
      </c>
      <c r="R7" s="17">
        <v>9.5000000000000001E-2</v>
      </c>
      <c r="S7" s="17">
        <v>5.0000000000000001E-3</v>
      </c>
      <c r="T7" s="17">
        <v>3.5757999999999998E-2</v>
      </c>
      <c r="U7" s="17">
        <v>0.13075799999999999</v>
      </c>
      <c r="V7" s="17">
        <v>0.3</v>
      </c>
      <c r="W7" s="18">
        <f t="shared" si="3"/>
        <v>8.4602367132902145E-3</v>
      </c>
      <c r="X7" s="18">
        <f t="shared" si="6"/>
        <v>3.3187308964692047E-4</v>
      </c>
      <c r="Y7" s="17">
        <v>0.04</v>
      </c>
      <c r="Z7" s="16">
        <f t="shared" si="4"/>
        <v>296507.61962774961</v>
      </c>
      <c r="AA7" s="17">
        <v>0</v>
      </c>
      <c r="AB7" s="17">
        <v>9.5000000000000001E-2</v>
      </c>
      <c r="AC7" s="17">
        <v>0.13075799999999999</v>
      </c>
      <c r="AD7" s="9">
        <v>26</v>
      </c>
      <c r="AE7" s="9">
        <v>360</v>
      </c>
    </row>
    <row r="8" spans="1:31" x14ac:dyDescent="0.2">
      <c r="A8" s="9">
        <v>7</v>
      </c>
      <c r="B8" s="10" t="s">
        <v>40</v>
      </c>
      <c r="C8" s="11" t="s">
        <v>32</v>
      </c>
      <c r="D8" s="11" t="s">
        <v>32</v>
      </c>
      <c r="E8" s="12">
        <f t="shared" si="0"/>
        <v>45138</v>
      </c>
      <c r="F8" s="12">
        <v>45153</v>
      </c>
      <c r="G8" s="12">
        <v>46752</v>
      </c>
      <c r="H8" s="12">
        <v>47725</v>
      </c>
      <c r="I8" s="9">
        <f t="shared" si="1"/>
        <v>84</v>
      </c>
      <c r="J8" s="9" t="s">
        <v>33</v>
      </c>
      <c r="K8" s="13">
        <v>7388889</v>
      </c>
      <c r="L8" s="13">
        <v>7388889</v>
      </c>
      <c r="M8" s="14">
        <v>7388889</v>
      </c>
      <c r="N8" s="14">
        <f t="shared" si="5"/>
        <v>7388889</v>
      </c>
      <c r="O8" s="14">
        <v>7388889</v>
      </c>
      <c r="P8" s="15">
        <v>1</v>
      </c>
      <c r="Q8" s="16">
        <f t="shared" si="2"/>
        <v>7388889</v>
      </c>
      <c r="R8" s="17">
        <v>6.7500000000000004E-2</v>
      </c>
      <c r="S8" s="17">
        <v>7.4999999999999997E-3</v>
      </c>
      <c r="T8" s="17">
        <v>2.0705000000000001E-2</v>
      </c>
      <c r="U8" s="17">
        <v>8.8205000000000006E-2</v>
      </c>
      <c r="V8" s="17">
        <v>0.25</v>
      </c>
      <c r="W8" s="18">
        <f t="shared" si="3"/>
        <v>0</v>
      </c>
      <c r="X8" s="18">
        <f t="shared" si="6"/>
        <v>0</v>
      </c>
      <c r="Y8" s="17">
        <v>3.2500000000000001E-2</v>
      </c>
      <c r="Z8" s="16">
        <f t="shared" si="4"/>
        <v>240138.89250000002</v>
      </c>
      <c r="AA8" s="17">
        <v>0</v>
      </c>
      <c r="AB8" s="17">
        <v>6.7500000000000004E-2</v>
      </c>
      <c r="AC8" s="17">
        <v>8.8205000000000006E-2</v>
      </c>
      <c r="AD8" s="9">
        <v>13</v>
      </c>
      <c r="AE8" s="9">
        <v>360</v>
      </c>
    </row>
    <row r="9" spans="1:31" x14ac:dyDescent="0.2">
      <c r="A9" s="9">
        <v>8</v>
      </c>
      <c r="B9" s="10" t="s">
        <v>40</v>
      </c>
      <c r="C9" s="11" t="s">
        <v>32</v>
      </c>
      <c r="D9" s="11" t="s">
        <v>34</v>
      </c>
      <c r="E9" s="12">
        <f t="shared" si="0"/>
        <v>45138</v>
      </c>
      <c r="F9" s="12">
        <v>45153</v>
      </c>
      <c r="G9" s="12">
        <v>46752</v>
      </c>
      <c r="H9" s="12">
        <v>47725</v>
      </c>
      <c r="I9" s="9">
        <f t="shared" si="1"/>
        <v>84</v>
      </c>
      <c r="J9" s="9" t="s">
        <v>33</v>
      </c>
      <c r="K9" s="13">
        <v>1156500</v>
      </c>
      <c r="L9" s="13">
        <v>1156500</v>
      </c>
      <c r="M9" s="14">
        <v>1156500</v>
      </c>
      <c r="N9" s="14">
        <f t="shared" si="5"/>
        <v>1156500</v>
      </c>
      <c r="O9" s="14">
        <v>1156500</v>
      </c>
      <c r="P9" s="15">
        <v>1</v>
      </c>
      <c r="Q9" s="16">
        <f t="shared" si="2"/>
        <v>1156500</v>
      </c>
      <c r="R9" s="17">
        <v>6.7500000000000004E-2</v>
      </c>
      <c r="S9" s="17">
        <v>7.4999999999999997E-3</v>
      </c>
      <c r="T9" s="17">
        <v>2.0705000000000001E-2</v>
      </c>
      <c r="U9" s="17">
        <v>8.8205000000000006E-2</v>
      </c>
      <c r="V9" s="17">
        <v>0.25</v>
      </c>
      <c r="W9" s="18">
        <f t="shared" si="3"/>
        <v>0</v>
      </c>
      <c r="X9" s="18">
        <f t="shared" si="6"/>
        <v>0</v>
      </c>
      <c r="Y9" s="17">
        <v>3.2500000000000001E-2</v>
      </c>
      <c r="Z9" s="16">
        <f t="shared" si="4"/>
        <v>37586.25</v>
      </c>
      <c r="AA9" s="17">
        <v>0</v>
      </c>
      <c r="AB9" s="17">
        <v>6.7500000000000004E-2</v>
      </c>
      <c r="AC9" s="17">
        <v>8.8205000000000006E-2</v>
      </c>
      <c r="AD9" s="9">
        <v>13</v>
      </c>
      <c r="AE9" s="9">
        <v>360</v>
      </c>
    </row>
    <row r="10" spans="1:31" x14ac:dyDescent="0.2">
      <c r="A10" s="9">
        <v>9</v>
      </c>
      <c r="B10" s="10" t="s">
        <v>41</v>
      </c>
      <c r="C10" s="11" t="s">
        <v>32</v>
      </c>
      <c r="D10" s="11" t="s">
        <v>32</v>
      </c>
      <c r="E10" s="12">
        <f t="shared" si="0"/>
        <v>45160</v>
      </c>
      <c r="F10" s="12">
        <v>45175</v>
      </c>
      <c r="G10" s="12">
        <v>46386</v>
      </c>
      <c r="H10" s="12">
        <v>47763</v>
      </c>
      <c r="I10" s="9">
        <f t="shared" si="1"/>
        <v>85</v>
      </c>
      <c r="J10" s="9" t="s">
        <v>33</v>
      </c>
      <c r="K10" s="13">
        <v>26435872</v>
      </c>
      <c r="L10" s="13">
        <v>26435872</v>
      </c>
      <c r="M10" s="14">
        <v>26435872</v>
      </c>
      <c r="N10" s="14">
        <f t="shared" si="5"/>
        <v>26435872</v>
      </c>
      <c r="O10" s="14">
        <v>26435872</v>
      </c>
      <c r="P10" s="15">
        <v>1</v>
      </c>
      <c r="Q10" s="16">
        <f t="shared" si="2"/>
        <v>26435872</v>
      </c>
      <c r="R10" s="17">
        <v>7.0000000000000007E-2</v>
      </c>
      <c r="S10" s="17">
        <v>0.01</v>
      </c>
      <c r="T10" s="17">
        <v>2.0705000000000001E-2</v>
      </c>
      <c r="U10" s="17">
        <v>9.0705000000000008E-2</v>
      </c>
      <c r="V10" s="17">
        <v>0.3</v>
      </c>
      <c r="W10" s="18">
        <f t="shared" si="3"/>
        <v>0</v>
      </c>
      <c r="X10" s="18">
        <f t="shared" si="6"/>
        <v>0</v>
      </c>
      <c r="Y10" s="17">
        <v>3.2500000000000001E-2</v>
      </c>
      <c r="Z10" s="16">
        <f t="shared" si="4"/>
        <v>859165.84000000008</v>
      </c>
      <c r="AA10" s="17">
        <v>0</v>
      </c>
      <c r="AB10" s="17">
        <v>7.0000000000000007E-2</v>
      </c>
      <c r="AC10" s="17">
        <v>9.0705000000000008E-2</v>
      </c>
      <c r="AD10" s="9">
        <v>13</v>
      </c>
      <c r="AE10" s="9">
        <v>360</v>
      </c>
    </row>
    <row r="11" spans="1:31" x14ac:dyDescent="0.2">
      <c r="A11" s="9">
        <v>10</v>
      </c>
      <c r="B11" s="10" t="s">
        <v>41</v>
      </c>
      <c r="C11" s="11" t="s">
        <v>32</v>
      </c>
      <c r="D11" s="11" t="s">
        <v>34</v>
      </c>
      <c r="E11" s="12">
        <f t="shared" si="0"/>
        <v>45160</v>
      </c>
      <c r="F11" s="12">
        <v>45175</v>
      </c>
      <c r="G11" s="12">
        <v>46386</v>
      </c>
      <c r="H11" s="12">
        <v>47763</v>
      </c>
      <c r="I11" s="9">
        <f t="shared" si="1"/>
        <v>85</v>
      </c>
      <c r="J11" s="9" t="s">
        <v>33</v>
      </c>
      <c r="K11" s="13">
        <v>3147127</v>
      </c>
      <c r="L11" s="13">
        <v>1398723.11</v>
      </c>
      <c r="M11" s="14">
        <v>3147127</v>
      </c>
      <c r="N11" s="14">
        <f t="shared" si="5"/>
        <v>3147127</v>
      </c>
      <c r="O11" s="14">
        <v>1398723.11</v>
      </c>
      <c r="P11" s="15">
        <v>1</v>
      </c>
      <c r="Q11" s="16">
        <f t="shared" si="2"/>
        <v>1398723.11</v>
      </c>
      <c r="R11" s="17">
        <v>7.0000000000000007E-2</v>
      </c>
      <c r="S11" s="17">
        <v>0.01</v>
      </c>
      <c r="T11" s="17">
        <v>2.0705000000000001E-2</v>
      </c>
      <c r="U11" s="17">
        <v>9.0705000000000008E-2</v>
      </c>
      <c r="V11" s="17">
        <v>0.3</v>
      </c>
      <c r="W11" s="18">
        <f t="shared" si="3"/>
        <v>1748403.89</v>
      </c>
      <c r="X11" s="18">
        <f t="shared" si="6"/>
        <v>47576.692452734998</v>
      </c>
      <c r="Y11" s="17">
        <v>3.2500000000000001E-2</v>
      </c>
      <c r="Z11" s="16">
        <f t="shared" si="4"/>
        <v>102281.6275</v>
      </c>
      <c r="AA11" s="17">
        <v>0</v>
      </c>
      <c r="AB11" s="17">
        <v>7.0000000000000007E-2</v>
      </c>
      <c r="AC11" s="17">
        <v>9.0705000000000008E-2</v>
      </c>
      <c r="AD11" s="9">
        <v>26</v>
      </c>
      <c r="AE11" s="9">
        <v>360</v>
      </c>
    </row>
    <row r="12" spans="1:31" x14ac:dyDescent="0.2">
      <c r="A12" s="9">
        <v>11</v>
      </c>
      <c r="B12" s="10" t="s">
        <v>42</v>
      </c>
      <c r="C12" s="11" t="s">
        <v>32</v>
      </c>
      <c r="D12" s="11" t="s">
        <v>32</v>
      </c>
      <c r="E12" s="12">
        <f t="shared" si="0"/>
        <v>45196</v>
      </c>
      <c r="F12" s="12">
        <v>45211</v>
      </c>
      <c r="G12" s="12">
        <v>46722</v>
      </c>
      <c r="H12" s="12">
        <v>47421</v>
      </c>
      <c r="I12" s="9">
        <f t="shared" si="1"/>
        <v>73</v>
      </c>
      <c r="J12" s="9" t="s">
        <v>37</v>
      </c>
      <c r="K12" s="13">
        <v>28314136.960000001</v>
      </c>
      <c r="L12" s="13">
        <v>28314136.960000001</v>
      </c>
      <c r="M12" s="14">
        <v>28314136.960000001</v>
      </c>
      <c r="N12" s="14">
        <f t="shared" si="5"/>
        <v>32290572.43830796</v>
      </c>
      <c r="O12" s="14">
        <v>28314136.960000001</v>
      </c>
      <c r="P12" s="15">
        <v>1.1404399323181051</v>
      </c>
      <c r="Q12" s="16">
        <f t="shared" si="2"/>
        <v>32290572.43830796</v>
      </c>
      <c r="R12" s="17">
        <v>7.4999999999999997E-2</v>
      </c>
      <c r="S12" s="17">
        <v>1.4999999999999999E-2</v>
      </c>
      <c r="T12" s="17">
        <v>3.5816000000000001E-2</v>
      </c>
      <c r="U12" s="17">
        <v>0.110816</v>
      </c>
      <c r="V12" s="17">
        <v>0.35</v>
      </c>
      <c r="W12" s="18">
        <f t="shared" si="3"/>
        <v>0</v>
      </c>
      <c r="X12" s="18">
        <f t="shared" si="6"/>
        <v>0</v>
      </c>
      <c r="Y12" s="17">
        <v>3.2500000000000001E-2</v>
      </c>
      <c r="Z12" s="16">
        <f t="shared" si="4"/>
        <v>1049443.6042450087</v>
      </c>
      <c r="AA12" s="17">
        <v>0</v>
      </c>
      <c r="AB12" s="17">
        <v>7.4999999999999997E-2</v>
      </c>
      <c r="AC12" s="17">
        <v>0.110816</v>
      </c>
      <c r="AD12" s="9">
        <v>26</v>
      </c>
      <c r="AE12" s="9">
        <v>365</v>
      </c>
    </row>
    <row r="13" spans="1:31" x14ac:dyDescent="0.2">
      <c r="A13" s="9">
        <v>12</v>
      </c>
      <c r="B13" s="10" t="s">
        <v>42</v>
      </c>
      <c r="C13" s="11" t="s">
        <v>32</v>
      </c>
      <c r="D13" s="11" t="s">
        <v>34</v>
      </c>
      <c r="E13" s="12">
        <f t="shared" si="0"/>
        <v>45196</v>
      </c>
      <c r="F13" s="12">
        <v>45211</v>
      </c>
      <c r="G13" s="12">
        <v>46722</v>
      </c>
      <c r="H13" s="12">
        <v>47421</v>
      </c>
      <c r="I13" s="9">
        <f t="shared" si="1"/>
        <v>73</v>
      </c>
      <c r="J13" s="9" t="s">
        <v>37</v>
      </c>
      <c r="K13" s="13">
        <v>4532922.54</v>
      </c>
      <c r="L13" s="13">
        <v>4532922.54</v>
      </c>
      <c r="M13" s="14">
        <v>4532922.54</v>
      </c>
      <c r="N13" s="14">
        <f t="shared" si="5"/>
        <v>5169525.8747208137</v>
      </c>
      <c r="O13" s="14">
        <v>4532922.54</v>
      </c>
      <c r="P13" s="15">
        <v>1.1404399323181051</v>
      </c>
      <c r="Q13" s="16">
        <f t="shared" si="2"/>
        <v>5169525.8747208137</v>
      </c>
      <c r="R13" s="17">
        <v>7.4999999999999997E-2</v>
      </c>
      <c r="S13" s="17">
        <v>1.4999999999999999E-2</v>
      </c>
      <c r="T13" s="17">
        <v>3.5816000000000001E-2</v>
      </c>
      <c r="U13" s="17">
        <v>0.110816</v>
      </c>
      <c r="V13" s="17">
        <v>0.35</v>
      </c>
      <c r="W13" s="18">
        <f t="shared" si="3"/>
        <v>0</v>
      </c>
      <c r="X13" s="18">
        <f t="shared" si="6"/>
        <v>0</v>
      </c>
      <c r="Y13" s="17">
        <v>3.2500000000000001E-2</v>
      </c>
      <c r="Z13" s="16">
        <f t="shared" si="4"/>
        <v>168009.59092842645</v>
      </c>
      <c r="AA13" s="17">
        <v>0</v>
      </c>
      <c r="AB13" s="17">
        <v>7.4999999999999997E-2</v>
      </c>
      <c r="AC13" s="17">
        <v>0.110816</v>
      </c>
      <c r="AD13" s="9">
        <v>26</v>
      </c>
      <c r="AE13" s="9">
        <v>365</v>
      </c>
    </row>
    <row r="14" spans="1:31" x14ac:dyDescent="0.2">
      <c r="A14" s="9">
        <v>13</v>
      </c>
      <c r="B14" s="10" t="s">
        <v>42</v>
      </c>
      <c r="C14" s="11" t="s">
        <v>26</v>
      </c>
      <c r="D14" s="11" t="s">
        <v>43</v>
      </c>
      <c r="E14" s="12">
        <f t="shared" si="0"/>
        <v>45196</v>
      </c>
      <c r="F14" s="12">
        <v>45211</v>
      </c>
      <c r="G14" s="12">
        <v>46722</v>
      </c>
      <c r="H14" s="12">
        <v>47786</v>
      </c>
      <c r="I14" s="9">
        <f t="shared" si="1"/>
        <v>85</v>
      </c>
      <c r="J14" s="9" t="s">
        <v>37</v>
      </c>
      <c r="K14" s="13">
        <v>24363753.129999999</v>
      </c>
      <c r="L14" s="13">
        <v>24363753.129999999</v>
      </c>
      <c r="M14" s="14">
        <v>24363753.129999999</v>
      </c>
      <c r="N14" s="14">
        <f t="shared" si="5"/>
        <v>27785396.970592219</v>
      </c>
      <c r="O14" s="14">
        <v>24363753.129999999</v>
      </c>
      <c r="P14" s="15">
        <v>1.1404399323181051</v>
      </c>
      <c r="Q14" s="16">
        <f t="shared" si="2"/>
        <v>27785396.970592219</v>
      </c>
      <c r="R14" s="17">
        <v>0</v>
      </c>
      <c r="S14" s="17">
        <v>1.4999999999999999E-2</v>
      </c>
      <c r="T14" s="17">
        <v>3.5816000000000001E-2</v>
      </c>
      <c r="U14" s="17">
        <v>0</v>
      </c>
      <c r="V14" s="17">
        <v>0.35</v>
      </c>
      <c r="W14" s="18">
        <f t="shared" si="3"/>
        <v>0</v>
      </c>
      <c r="X14" s="18">
        <f t="shared" si="6"/>
        <v>0</v>
      </c>
      <c r="Y14" s="17">
        <v>3.2500000000000001E-2</v>
      </c>
      <c r="Z14" s="16">
        <f t="shared" si="4"/>
        <v>903025.40154424717</v>
      </c>
      <c r="AA14" s="17">
        <v>0.1</v>
      </c>
      <c r="AB14" s="17">
        <v>0.1</v>
      </c>
      <c r="AC14" s="17">
        <v>0.13581599999999999</v>
      </c>
      <c r="AD14" s="9">
        <v>26</v>
      </c>
      <c r="AE14" s="9">
        <v>365</v>
      </c>
    </row>
    <row r="15" spans="1:31" x14ac:dyDescent="0.2">
      <c r="A15" s="9">
        <v>14</v>
      </c>
      <c r="B15" s="10" t="s">
        <v>44</v>
      </c>
      <c r="C15" s="11" t="s">
        <v>32</v>
      </c>
      <c r="D15" s="11" t="s">
        <v>32</v>
      </c>
      <c r="E15" s="12">
        <f t="shared" si="0"/>
        <v>45176</v>
      </c>
      <c r="F15" s="12">
        <v>45191</v>
      </c>
      <c r="G15" s="12">
        <v>46568</v>
      </c>
      <c r="H15" s="12">
        <v>47383</v>
      </c>
      <c r="I15" s="9">
        <f t="shared" si="1"/>
        <v>72</v>
      </c>
      <c r="J15" s="9" t="s">
        <v>37</v>
      </c>
      <c r="K15" s="13">
        <v>4685114.66</v>
      </c>
      <c r="L15" s="13">
        <v>4685114.66</v>
      </c>
      <c r="M15" s="14">
        <v>4685114.66</v>
      </c>
      <c r="N15" s="14">
        <f t="shared" si="5"/>
        <v>5343091.8457529619</v>
      </c>
      <c r="O15" s="14">
        <v>4685114.66</v>
      </c>
      <c r="P15" s="15">
        <v>1.1404399323181051</v>
      </c>
      <c r="Q15" s="16">
        <f t="shared" si="2"/>
        <v>5343091.8457529619</v>
      </c>
      <c r="R15" s="17">
        <v>8.4599999999999995E-2</v>
      </c>
      <c r="S15" s="17">
        <v>1.4999999999999999E-2</v>
      </c>
      <c r="T15" s="17">
        <v>3.5816000000000001E-2</v>
      </c>
      <c r="U15" s="17">
        <v>0.120416</v>
      </c>
      <c r="V15" s="17">
        <v>0.2</v>
      </c>
      <c r="W15" s="18">
        <f t="shared" si="3"/>
        <v>0</v>
      </c>
      <c r="X15" s="18">
        <f t="shared" si="6"/>
        <v>0</v>
      </c>
      <c r="Y15" s="17">
        <v>3.5000000000000003E-2</v>
      </c>
      <c r="Z15" s="16">
        <f t="shared" si="4"/>
        <v>187008.21460135368</v>
      </c>
      <c r="AA15" s="17">
        <v>0</v>
      </c>
      <c r="AB15" s="17">
        <v>8.4599999999999995E-2</v>
      </c>
      <c r="AC15" s="17">
        <v>0.120416</v>
      </c>
      <c r="AD15" s="9">
        <v>13</v>
      </c>
      <c r="AE15" s="9">
        <v>365</v>
      </c>
    </row>
    <row r="16" spans="1:31" x14ac:dyDescent="0.2">
      <c r="A16" s="9">
        <v>15</v>
      </c>
      <c r="B16" s="10" t="s">
        <v>44</v>
      </c>
      <c r="C16" s="11" t="s">
        <v>32</v>
      </c>
      <c r="D16" s="11" t="s">
        <v>32</v>
      </c>
      <c r="E16" s="12">
        <f t="shared" si="0"/>
        <v>45176</v>
      </c>
      <c r="F16" s="12">
        <v>45191</v>
      </c>
      <c r="G16" s="12">
        <v>46568</v>
      </c>
      <c r="H16" s="12">
        <v>47383</v>
      </c>
      <c r="I16" s="9">
        <f t="shared" si="1"/>
        <v>72</v>
      </c>
      <c r="J16" s="9" t="s">
        <v>45</v>
      </c>
      <c r="K16" s="13">
        <v>9647191.5399999991</v>
      </c>
      <c r="L16" s="13">
        <v>9647191.5399999991</v>
      </c>
      <c r="M16" s="14">
        <v>9647191.5399999991</v>
      </c>
      <c r="N16" s="14">
        <f t="shared" si="5"/>
        <v>5987640.355680204</v>
      </c>
      <c r="O16" s="14">
        <v>9647191.5399999991</v>
      </c>
      <c r="P16" s="15">
        <v>0.62066149830795259</v>
      </c>
      <c r="Q16" s="16">
        <f t="shared" si="2"/>
        <v>5987640.355680204</v>
      </c>
      <c r="R16" s="17">
        <v>8.4599999999999995E-2</v>
      </c>
      <c r="S16" s="17">
        <v>1.4999999999999999E-2</v>
      </c>
      <c r="T16" s="17">
        <v>2.5836999999999999E-2</v>
      </c>
      <c r="U16" s="17">
        <v>0.11043699999999999</v>
      </c>
      <c r="V16" s="17">
        <v>0.2</v>
      </c>
      <c r="W16" s="18">
        <f t="shared" si="3"/>
        <v>0</v>
      </c>
      <c r="X16" s="18">
        <f t="shared" si="6"/>
        <v>0</v>
      </c>
      <c r="Y16" s="17">
        <v>3.5000000000000003E-2</v>
      </c>
      <c r="Z16" s="16">
        <f>Y16*N16</f>
        <v>209567.41244880715</v>
      </c>
      <c r="AA16" s="17">
        <v>0</v>
      </c>
      <c r="AB16" s="17">
        <v>8.4599999999999995E-2</v>
      </c>
      <c r="AC16" s="17">
        <v>0.11043699999999999</v>
      </c>
      <c r="AD16" s="9">
        <v>26</v>
      </c>
      <c r="AE16" s="9">
        <v>360</v>
      </c>
    </row>
  </sheetData>
  <conditionalFormatting sqref="B1:A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Readha P</dc:creator>
  <cp:lastModifiedBy>Readha P</cp:lastModifiedBy>
  <dcterms:created xsi:type="dcterms:W3CDTF">2026-05-15T21:57:47Z</dcterms:created>
  <dcterms:modified xsi:type="dcterms:W3CDTF">2026-05-15T21:58:52Z</dcterms:modified>
</cp:coreProperties>
</file>